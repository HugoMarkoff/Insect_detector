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ugenegalaxy/Downloads/"/>
    </mc:Choice>
  </mc:AlternateContent>
  <xr:revisionPtr revIDLastSave="0" documentId="13_ncr:1_{EDCADC91-C25D-5F45-AC51-160D5EC3EA99}" xr6:coauthVersionLast="47" xr6:coauthVersionMax="47" xr10:uidLastSave="{00000000-0000-0000-0000-000000000000}"/>
  <bookViews>
    <workbookView minimized="1" xWindow="0" yWindow="7700" windowWidth="38400" windowHeight="19580" xr2:uid="{4C12173D-9007-434E-BC79-EBB0782062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2" i="1"/>
  <c r="I13" i="1"/>
  <c r="I14" i="1"/>
  <c r="I15" i="1"/>
  <c r="I16" i="1"/>
  <c r="I17" i="1"/>
  <c r="I11" i="1"/>
  <c r="D18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4" i="1"/>
  <c r="C23" i="1"/>
  <c r="C21" i="1"/>
  <c r="C20" i="1"/>
  <c r="E17" i="1"/>
  <c r="E5" i="1"/>
  <c r="E6" i="1"/>
  <c r="E7" i="1"/>
  <c r="E8" i="1"/>
  <c r="E9" i="1"/>
  <c r="E10" i="1"/>
  <c r="E12" i="1"/>
  <c r="E13" i="1"/>
  <c r="E14" i="1"/>
  <c r="E15" i="1"/>
  <c r="E16" i="1"/>
  <c r="E4" i="1"/>
  <c r="C18" i="1"/>
  <c r="E18" i="1" l="1"/>
  <c r="H14" i="1" l="1"/>
  <c r="H15" i="1"/>
  <c r="H16" i="1"/>
  <c r="E20" i="1"/>
  <c r="E21" i="1" s="1"/>
  <c r="H4" i="1"/>
  <c r="H9" i="1"/>
  <c r="H11" i="1"/>
  <c r="H13" i="1"/>
  <c r="H5" i="1"/>
  <c r="H6" i="1"/>
  <c r="H7" i="1"/>
  <c r="H17" i="1"/>
  <c r="H8" i="1"/>
  <c r="F18" i="1"/>
  <c r="H10" i="1"/>
  <c r="H12" i="1"/>
</calcChain>
</file>

<file path=xl/sharedStrings.xml><?xml version="1.0" encoding="utf-8"?>
<sst xmlns="http://schemas.openxmlformats.org/spreadsheetml/2006/main" count="44" uniqueCount="39">
  <si>
    <t>Animal Detect BOM List</t>
  </si>
  <si>
    <t>Item</t>
  </si>
  <si>
    <t>Number</t>
  </si>
  <si>
    <t>Website</t>
  </si>
  <si>
    <t>PIR sensor - Grove - Seeed Studio</t>
  </si>
  <si>
    <t>Price (excl VAT)</t>
  </si>
  <si>
    <t>Elfadistrelec</t>
  </si>
  <si>
    <t>REED sensor - Grove - Seeed Studio</t>
  </si>
  <si>
    <t>RS</t>
  </si>
  <si>
    <t>Waveshare 4G Rpi hat</t>
  </si>
  <si>
    <t>Raspberrypi.dk</t>
  </si>
  <si>
    <t>Raspberry Pi  Zero 2 W</t>
  </si>
  <si>
    <t>IR Camera with asscesories</t>
  </si>
  <si>
    <t>Amazon.de</t>
  </si>
  <si>
    <t>SD card</t>
  </si>
  <si>
    <t>Farnell</t>
  </si>
  <si>
    <t>3DEKSPERTEN</t>
  </si>
  <si>
    <t xml:space="preserve">Magnet </t>
  </si>
  <si>
    <t>Magnetz</t>
  </si>
  <si>
    <t>SIM CARD</t>
  </si>
  <si>
    <t>nemsim</t>
  </si>
  <si>
    <t>Scrws etc</t>
  </si>
  <si>
    <t>Chargerboard</t>
  </si>
  <si>
    <t>Chargerboard PCB</t>
  </si>
  <si>
    <t>PCB Way</t>
  </si>
  <si>
    <t>Arduino board</t>
  </si>
  <si>
    <t>Batteries</t>
  </si>
  <si>
    <t>Total</t>
  </si>
  <si>
    <t>All over the place</t>
  </si>
  <si>
    <t>Let elektonik</t>
  </si>
  <si>
    <t xml:space="preserve">Fillament </t>
  </si>
  <si>
    <t>Possible decrease</t>
  </si>
  <si>
    <t>Price:</t>
  </si>
  <si>
    <t>Profit:</t>
  </si>
  <si>
    <t>current:</t>
  </si>
  <si>
    <t>possible:</t>
  </si>
  <si>
    <t>profit %:</t>
  </si>
  <si>
    <t>Hugo roughly estimates these initial costs on communicating with China:</t>
  </si>
  <si>
    <t>New price (excl VAT)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</si>
</sst>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kr.&quot;"/>
  </numFmts>
  <fonts count="5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1" xfId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9" fontId="4" fillId="0" borderId="1" xfId="2" applyFont="1" applyBorder="1" applyAlignment="1">
      <alignment horizontal="center"/>
    </xf>
    <xf numFmtId="0" fontId="0" fillId="0" borderId="2" xfId="0" applyBorder="1"/>
    <xf numFmtId="164" fontId="0" fillId="0" borderId="0" xfId="0" applyNumberFormat="1"/>
    <xf numFmtId="164" fontId="0" fillId="0" borderId="2" xfId="0" applyNumberFormat="1" applyBorder="1" applyAlignment="1">
      <alignment horizontal="center"/>
    </xf>
    <xf numFmtId="9" fontId="0" fillId="0" borderId="0" xfId="2" applyFont="1"/>
    <xf numFmtId="0" fontId="4" fillId="0" borderId="0" xfId="0" applyFont="1" applyAlignment="1">
      <alignment horizontal="center"/>
    </xf>
    <xf numFmtId="10" fontId="0" fillId="0" borderId="1" xfId="0" applyNumberForma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2" fontId="0" fillId="0" borderId="0" xfId="0" applyNumberFormat="1"/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aspberrypi.dk/produkt/sim7600g-h-4g-hat-b-til-raspberry-pi/" TargetMode="External"/><Relationship Id="rId7" Type="http://schemas.openxmlformats.org/officeDocument/2006/relationships/hyperlink" Target="https://3deksperten.dk/products/spectrum-premium-pet-g-olive-green-1-75mm-1kg" TargetMode="External"/><Relationship Id="rId2" Type="http://schemas.openxmlformats.org/officeDocument/2006/relationships/hyperlink" Target="https://dk.rs-online.com/web/p/sensor-udvikling/1793718?cm_mmc=DK-PLA-DS3A-_-google-_-CSS_DK_DK_Pmax_Test-_--_-1793718&amp;matchtype=&amp;gclid=Cj0KCQjw84anBhCtARIsAISI-xdNMwwxcLprbnnPWHhTA6q7mh_S2gy7VteEJ_p-w9ezfNa6J3UUyKAaAinZEALw_wcB&amp;gclsrc=aw.ds" TargetMode="External"/><Relationship Id="rId1" Type="http://schemas.openxmlformats.org/officeDocument/2006/relationships/hyperlink" Target="https://www.elfadistrelec.dk/da/grove-indstillelig-pir-bevaegelsessensor-seeed-studio-101020617/p/30135125?ext_cid=shgooaqdkda-PerformanceMax-GoogleCSS&amp;cq_src=google_ads&amp;cq_cmp=20360753705&amp;cq_con=&amp;cq_term=&amp;cq_med=pla&amp;cq_plac=&amp;cq_net=x&amp;cq_pos=&amp;cq_plt=gp&amp;gclid=Cj0KCQjw84anBhCtARIsAISI-xdk-M7hqvw4z7TouexruvexYeF3b5mY5NGYbd3Iherwr_Rjdmy4eycaAteiEALw_wcB&amp;gclsrc=aw.ds" TargetMode="External"/><Relationship Id="rId6" Type="http://schemas.openxmlformats.org/officeDocument/2006/relationships/hyperlink" Target="https://dk.farnell.com/en-DK/integral/inmsdh32g-100v10/32gb-microsdhc-v10-uhs-i-u1/dp/3498609?st=microsd%2032gb" TargetMode="External"/><Relationship Id="rId5" Type="http://schemas.openxmlformats.org/officeDocument/2006/relationships/hyperlink" Target="https://www.amazon.de/-/en/Compatible-Raspberry-Camera-Vision-Adjustable/dp/B08ZY7V5XW/ref=sr_1_3?keywords=rpi+ir+camera&amp;qid=1692597484&amp;sprefix=%2Caps%2C63&amp;sr=8-3" TargetMode="External"/><Relationship Id="rId4" Type="http://schemas.openxmlformats.org/officeDocument/2006/relationships/hyperlink" Target="https://raspberrypi.dk/produkt/sim7600g-h-4g-hat-b-til-raspberry-p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F7C21-9E8B-426C-933C-183068C61336}">
  <dimension ref="A1:K28"/>
  <sheetViews>
    <sheetView tabSelected="1" zoomScale="184" workbookViewId="0">
      <selection activeCell="E11" sqref="E11"/>
    </sheetView>
  </sheetViews>
  <sheetFormatPr baseColWidth="10" defaultColWidth="8.83203125" defaultRowHeight="15" x14ac:dyDescent="0.2"/>
  <cols>
    <col min="1" max="1" width="27.33203125" bestFit="1" customWidth="1"/>
    <col min="2" max="2" width="10.5" bestFit="1" customWidth="1"/>
    <col min="3" max="3" width="13.1640625" bestFit="1" customWidth="1"/>
    <col min="4" max="4" width="14.83203125" bestFit="1" customWidth="1"/>
    <col min="5" max="5" width="17.1640625" bestFit="1" customWidth="1"/>
    <col min="6" max="6" width="14" style="9" bestFit="1" customWidth="1"/>
    <col min="7" max="7" width="13.1640625" bestFit="1" customWidth="1"/>
    <col min="8" max="8" width="17.1640625" bestFit="1" customWidth="1"/>
  </cols>
  <sheetData>
    <row r="1" spans="1:11" x14ac:dyDescent="0.2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x14ac:dyDescent="0.2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x14ac:dyDescent="0.2">
      <c r="A3" s="4" t="s">
        <v>1</v>
      </c>
      <c r="B3" s="4" t="s">
        <v>2</v>
      </c>
      <c r="C3" s="4" t="s">
        <v>5</v>
      </c>
      <c r="D3" s="4" t="s">
        <v>31</v>
      </c>
      <c r="E3" s="4" t="s">
        <v>38</v>
      </c>
      <c r="F3" s="10" t="s">
        <v>3</v>
      </c>
      <c r="G3" s="4" t="s">
        <v>5</v>
      </c>
      <c r="H3" s="4" t="s">
        <v>38</v>
      </c>
    </row>
    <row r="4" spans="1:11" x14ac:dyDescent="0.2">
      <c r="A4" s="2" t="s">
        <v>4</v>
      </c>
      <c r="B4" s="5">
        <v>1</v>
      </c>
      <c r="C4" s="6">
        <v>58.7</v>
      </c>
      <c r="D4" s="5">
        <v>0.4</v>
      </c>
      <c r="E4" s="6">
        <f>C4*D4</f>
        <v>23.480000000000004</v>
      </c>
      <c r="F4" s="7" t="s">
        <v>6</v>
      </c>
      <c r="G4" s="18">
        <f>C4/$C$18</f>
        <v>2.5315036355324783E-2</v>
      </c>
      <c r="H4" s="18">
        <f>E4/$E$18</f>
        <v>1.7145444189680607E-2</v>
      </c>
      <c r="I4" s="22">
        <f t="shared" ref="I4:I10" si="0">G4/H4</f>
        <v>1.4764876357394834</v>
      </c>
    </row>
    <row r="5" spans="1:11" x14ac:dyDescent="0.2">
      <c r="A5" s="2" t="s">
        <v>7</v>
      </c>
      <c r="B5" s="5">
        <v>1</v>
      </c>
      <c r="C5" s="6">
        <v>22.4</v>
      </c>
      <c r="D5" s="5">
        <v>0.4</v>
      </c>
      <c r="E5" s="6">
        <f t="shared" ref="E5:E17" si="1">C5*D5</f>
        <v>8.9599999999999991</v>
      </c>
      <c r="F5" s="7" t="s">
        <v>8</v>
      </c>
      <c r="G5" s="18">
        <f t="shared" ref="G5:G17" si="2">C5/$C$18</f>
        <v>9.6602523740932714E-3</v>
      </c>
      <c r="H5" s="18">
        <f t="shared" ref="H5:H17" si="3">E5/$E$18</f>
        <v>6.542724869656652E-3</v>
      </c>
      <c r="I5" s="22">
        <f t="shared" si="0"/>
        <v>1.4764876357394836</v>
      </c>
    </row>
    <row r="6" spans="1:11" x14ac:dyDescent="0.2">
      <c r="A6" s="2" t="s">
        <v>9</v>
      </c>
      <c r="B6" s="5">
        <v>1</v>
      </c>
      <c r="C6" s="6">
        <v>535.20000000000005</v>
      </c>
      <c r="D6" s="5">
        <v>0.7</v>
      </c>
      <c r="E6" s="6">
        <f t="shared" si="1"/>
        <v>374.64</v>
      </c>
      <c r="F6" s="7" t="s">
        <v>10</v>
      </c>
      <c r="G6" s="18">
        <f t="shared" si="2"/>
        <v>0.23081102993815714</v>
      </c>
      <c r="H6" s="18">
        <f t="shared" si="3"/>
        <v>0.27356768361251876</v>
      </c>
      <c r="I6" s="22">
        <f t="shared" si="0"/>
        <v>0.84370722042256219</v>
      </c>
    </row>
    <row r="7" spans="1:11" x14ac:dyDescent="0.2">
      <c r="A7" s="2" t="s">
        <v>11</v>
      </c>
      <c r="B7" s="5">
        <v>1</v>
      </c>
      <c r="C7" s="6">
        <v>119.2</v>
      </c>
      <c r="D7" s="5">
        <v>1</v>
      </c>
      <c r="E7" s="6">
        <f t="shared" si="1"/>
        <v>119.2</v>
      </c>
      <c r="F7" s="7" t="s">
        <v>10</v>
      </c>
      <c r="G7" s="18">
        <f t="shared" si="2"/>
        <v>5.1406342990710632E-2</v>
      </c>
      <c r="H7" s="18">
        <f t="shared" si="3"/>
        <v>8.7041607640967966E-2</v>
      </c>
      <c r="I7" s="22">
        <f t="shared" si="0"/>
        <v>0.59059505429579351</v>
      </c>
    </row>
    <row r="8" spans="1:11" x14ac:dyDescent="0.2">
      <c r="A8" s="2" t="s">
        <v>12</v>
      </c>
      <c r="B8" s="5">
        <v>1</v>
      </c>
      <c r="C8" s="6">
        <v>134.1</v>
      </c>
      <c r="D8" s="5">
        <v>0.5</v>
      </c>
      <c r="E8" s="6">
        <f t="shared" si="1"/>
        <v>67.05</v>
      </c>
      <c r="F8" s="7" t="s">
        <v>13</v>
      </c>
      <c r="G8" s="18">
        <f t="shared" si="2"/>
        <v>5.7832135864549453E-2</v>
      </c>
      <c r="H8" s="18">
        <f t="shared" si="3"/>
        <v>4.8960904298044484E-2</v>
      </c>
      <c r="I8" s="22">
        <f t="shared" si="0"/>
        <v>1.1811901085915868</v>
      </c>
    </row>
    <row r="9" spans="1:11" x14ac:dyDescent="0.2">
      <c r="A9" s="2" t="s">
        <v>14</v>
      </c>
      <c r="B9" s="5">
        <v>1</v>
      </c>
      <c r="C9" s="6">
        <v>42.18</v>
      </c>
      <c r="D9" s="5">
        <v>0.5</v>
      </c>
      <c r="E9" s="6">
        <f t="shared" si="1"/>
        <v>21.09</v>
      </c>
      <c r="F9" s="7" t="s">
        <v>15</v>
      </c>
      <c r="G9" s="18">
        <f t="shared" si="2"/>
        <v>1.8190600229430993E-2</v>
      </c>
      <c r="H9" s="18">
        <f t="shared" si="3"/>
        <v>1.5400230747886028E-2</v>
      </c>
      <c r="I9" s="22">
        <f t="shared" si="0"/>
        <v>1.1811901085915868</v>
      </c>
    </row>
    <row r="10" spans="1:11" x14ac:dyDescent="0.2">
      <c r="A10" s="2" t="s">
        <v>30</v>
      </c>
      <c r="B10" s="5">
        <v>1</v>
      </c>
      <c r="C10" s="6">
        <v>156</v>
      </c>
      <c r="D10" s="5">
        <v>1</v>
      </c>
      <c r="E10" s="6">
        <f t="shared" si="1"/>
        <v>156</v>
      </c>
      <c r="F10" s="7" t="s">
        <v>16</v>
      </c>
      <c r="G10" s="18">
        <f t="shared" si="2"/>
        <v>6.7276757605292434E-2</v>
      </c>
      <c r="H10" s="18">
        <f t="shared" si="3"/>
        <v>0.11391351335562923</v>
      </c>
      <c r="I10" s="22">
        <f t="shared" si="0"/>
        <v>0.5905950542957934</v>
      </c>
    </row>
    <row r="11" spans="1:11" x14ac:dyDescent="0.2">
      <c r="A11" s="2" t="s">
        <v>17</v>
      </c>
      <c r="B11" s="5">
        <v>1</v>
      </c>
      <c r="C11" s="6">
        <v>36</v>
      </c>
      <c r="D11" s="5">
        <v>0.4</v>
      </c>
      <c r="E11" s="6">
        <v>1.54</v>
      </c>
      <c r="F11" s="8" t="s">
        <v>18</v>
      </c>
      <c r="G11" s="18">
        <f t="shared" si="2"/>
        <v>1.552540560122133E-2</v>
      </c>
      <c r="H11" s="18">
        <f t="shared" si="3"/>
        <v>1.1245308369722373E-3</v>
      </c>
      <c r="I11" s="22">
        <f>G11/H11</f>
        <v>13.806118152369196</v>
      </c>
    </row>
    <row r="12" spans="1:11" x14ac:dyDescent="0.2">
      <c r="A12" s="2" t="s">
        <v>19</v>
      </c>
      <c r="B12" s="5">
        <v>6</v>
      </c>
      <c r="C12" s="6">
        <v>192</v>
      </c>
      <c r="D12" s="5">
        <v>0.8</v>
      </c>
      <c r="E12" s="6">
        <f t="shared" si="1"/>
        <v>153.60000000000002</v>
      </c>
      <c r="F12" s="8" t="s">
        <v>20</v>
      </c>
      <c r="G12" s="18">
        <f t="shared" si="2"/>
        <v>8.2802163206513762E-2</v>
      </c>
      <c r="H12" s="18">
        <f t="shared" si="3"/>
        <v>0.11216099776554264</v>
      </c>
      <c r="I12" s="22">
        <f t="shared" ref="I12:I17" si="4">G12/H12</f>
        <v>0.73824381786974169</v>
      </c>
    </row>
    <row r="13" spans="1:11" x14ac:dyDescent="0.2">
      <c r="A13" s="2" t="s">
        <v>21</v>
      </c>
      <c r="B13" s="5">
        <v>1</v>
      </c>
      <c r="C13" s="6">
        <v>160</v>
      </c>
      <c r="D13" s="5">
        <v>0.5</v>
      </c>
      <c r="E13" s="6">
        <f t="shared" si="1"/>
        <v>80</v>
      </c>
      <c r="F13" s="8" t="s">
        <v>28</v>
      </c>
      <c r="G13" s="18">
        <f t="shared" si="2"/>
        <v>6.9001802672094797E-2</v>
      </c>
      <c r="H13" s="18">
        <f t="shared" si="3"/>
        <v>5.8417186336220117E-2</v>
      </c>
      <c r="I13" s="22">
        <f t="shared" si="4"/>
        <v>1.1811901085915868</v>
      </c>
    </row>
    <row r="14" spans="1:11" x14ac:dyDescent="0.2">
      <c r="A14" s="2" t="s">
        <v>22</v>
      </c>
      <c r="B14" s="5">
        <v>1</v>
      </c>
      <c r="C14" s="6">
        <v>120</v>
      </c>
      <c r="D14" s="5">
        <v>0.5</v>
      </c>
      <c r="E14" s="6">
        <f t="shared" si="1"/>
        <v>60</v>
      </c>
      <c r="F14" s="8" t="s">
        <v>29</v>
      </c>
      <c r="G14" s="18">
        <f t="shared" si="2"/>
        <v>5.1751352004071105E-2</v>
      </c>
      <c r="H14" s="18">
        <f t="shared" si="3"/>
        <v>4.3812889752165088E-2</v>
      </c>
      <c r="I14" s="22">
        <f t="shared" si="4"/>
        <v>1.1811901085915868</v>
      </c>
    </row>
    <row r="15" spans="1:11" x14ac:dyDescent="0.2">
      <c r="A15" s="2" t="s">
        <v>23</v>
      </c>
      <c r="B15" s="5">
        <v>1</v>
      </c>
      <c r="C15" s="6">
        <v>30</v>
      </c>
      <c r="D15" s="5">
        <v>1</v>
      </c>
      <c r="E15" s="6">
        <f t="shared" si="1"/>
        <v>30</v>
      </c>
      <c r="F15" s="8" t="s">
        <v>24</v>
      </c>
      <c r="G15" s="18">
        <f t="shared" si="2"/>
        <v>1.2937838001017776E-2</v>
      </c>
      <c r="H15" s="18">
        <f t="shared" si="3"/>
        <v>2.1906444876082544E-2</v>
      </c>
      <c r="I15" s="22">
        <f t="shared" si="4"/>
        <v>0.5905950542957934</v>
      </c>
    </row>
    <row r="16" spans="1:11" x14ac:dyDescent="0.2">
      <c r="A16" s="2" t="s">
        <v>25</v>
      </c>
      <c r="B16" s="5">
        <v>1</v>
      </c>
      <c r="C16" s="6">
        <v>200</v>
      </c>
      <c r="D16" s="5">
        <v>0.6</v>
      </c>
      <c r="E16" s="6">
        <f t="shared" si="1"/>
        <v>120</v>
      </c>
      <c r="F16" s="8" t="s">
        <v>24</v>
      </c>
      <c r="G16" s="18">
        <f t="shared" si="2"/>
        <v>8.6252253340118504E-2</v>
      </c>
      <c r="H16" s="18">
        <f t="shared" si="3"/>
        <v>8.7625779504330176E-2</v>
      </c>
      <c r="I16" s="22">
        <f t="shared" si="4"/>
        <v>0.984325090492989</v>
      </c>
    </row>
    <row r="17" spans="1:9" x14ac:dyDescent="0.2">
      <c r="A17" s="2" t="s">
        <v>26</v>
      </c>
      <c r="B17" s="5">
        <v>3</v>
      </c>
      <c r="C17" s="6">
        <v>513</v>
      </c>
      <c r="D17" s="5">
        <v>0.3</v>
      </c>
      <c r="E17" s="6">
        <f t="shared" si="1"/>
        <v>153.9</v>
      </c>
      <c r="F17" s="8" t="s">
        <v>8</v>
      </c>
      <c r="G17" s="18">
        <f t="shared" si="2"/>
        <v>0.22123702981740395</v>
      </c>
      <c r="H17" s="18">
        <f t="shared" si="3"/>
        <v>0.11238006221430345</v>
      </c>
      <c r="I17" s="22">
        <f t="shared" si="4"/>
        <v>1.968650180985978</v>
      </c>
    </row>
    <row r="18" spans="1:9" x14ac:dyDescent="0.2">
      <c r="A18" s="3" t="s">
        <v>27</v>
      </c>
      <c r="B18" s="3"/>
      <c r="C18" s="11">
        <f>SUM(C4:C17)</f>
        <v>2318.7800000000002</v>
      </c>
      <c r="D18" s="11">
        <f>C18*40</f>
        <v>92751.200000000012</v>
      </c>
      <c r="E18" s="11">
        <f>SUM(E4:E17)</f>
        <v>1369.46</v>
      </c>
      <c r="F18" s="12">
        <f>ABS(1-(E18/C18))</f>
        <v>0.4094049457042066</v>
      </c>
    </row>
    <row r="19" spans="1:9" x14ac:dyDescent="0.2">
      <c r="A19" s="13" t="s">
        <v>32</v>
      </c>
      <c r="B19" s="15">
        <v>2995</v>
      </c>
      <c r="C19" s="17" t="s">
        <v>34</v>
      </c>
      <c r="D19" s="1"/>
      <c r="E19" s="17" t="s">
        <v>35</v>
      </c>
    </row>
    <row r="20" spans="1:9" x14ac:dyDescent="0.2">
      <c r="B20" t="s">
        <v>33</v>
      </c>
      <c r="C20" s="14">
        <f>B19-C18</f>
        <v>676.2199999999998</v>
      </c>
      <c r="E20" s="14">
        <f>B19-E18</f>
        <v>1625.54</v>
      </c>
    </row>
    <row r="21" spans="1:9" x14ac:dyDescent="0.2">
      <c r="B21" t="s">
        <v>36</v>
      </c>
      <c r="C21" s="16">
        <f>C20/B19</f>
        <v>0.22578297161936553</v>
      </c>
      <c r="E21" s="16">
        <f>E20/B19</f>
        <v>0.5427512520868113</v>
      </c>
    </row>
    <row r="23" spans="1:9" ht="15" customHeight="1" x14ac:dyDescent="0.2">
      <c r="C23" s="14">
        <f>C18*1.25</f>
        <v>2898.4750000000004</v>
      </c>
      <c r="D23" s="21" t="s">
        <v>37</v>
      </c>
      <c r="E23" s="14">
        <v>20000</v>
      </c>
    </row>
    <row r="24" spans="1:9" x14ac:dyDescent="0.2">
      <c r="D24" s="21"/>
    </row>
    <row r="25" spans="1:9" x14ac:dyDescent="0.2">
      <c r="D25" s="21"/>
    </row>
    <row r="26" spans="1:9" x14ac:dyDescent="0.2">
      <c r="D26" s="21"/>
    </row>
    <row r="27" spans="1:9" x14ac:dyDescent="0.2">
      <c r="D27" s="21"/>
    </row>
    <row r="28" spans="1:9" x14ac:dyDescent="0.2">
      <c r="D28" s="21"/>
    </row>
  </sheetData>
  <mergeCells count="2">
    <mergeCell ref="A1:K2"/>
    <mergeCell ref="D23:D28"/>
  </mergeCells>
  <hyperlinks>
    <hyperlink ref="F4" r:id="rId1" display="elfadistrelec" xr:uid="{03B3B746-8190-44A4-9E11-BBF520483838}"/>
    <hyperlink ref="F5" r:id="rId2" xr:uid="{06F94AD0-D229-4C5D-9ADA-73FF1A7964D8}"/>
    <hyperlink ref="F6" r:id="rId3" xr:uid="{FC942E86-DD5F-4040-BB4D-287574D74A83}"/>
    <hyperlink ref="F7" r:id="rId4" xr:uid="{48EAAF94-B390-468C-BA92-65401010B2F5}"/>
    <hyperlink ref="F8" r:id="rId5" xr:uid="{E0191FD1-7C39-4690-8BB7-510EDC81EE72}"/>
    <hyperlink ref="F9" r:id="rId6" xr:uid="{9E1AFF33-F659-4D3B-8E0D-8E3DE7D438CC}"/>
    <hyperlink ref="F10" r:id="rId7" display="3DEKSPERTEM" xr:uid="{B0763139-2C43-467C-8EA0-65F0B0A5D00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Markoff</dc:creator>
  <cp:lastModifiedBy>Eugene Galaxy</cp:lastModifiedBy>
  <dcterms:created xsi:type="dcterms:W3CDTF">2023-08-21T05:49:30Z</dcterms:created>
  <dcterms:modified xsi:type="dcterms:W3CDTF">2023-09-13T13:13:54Z</dcterms:modified>
</cp:coreProperties>
</file>